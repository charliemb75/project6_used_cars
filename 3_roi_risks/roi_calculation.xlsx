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Bootcamp\6_Projects\Proj6_Used_Cars\6_presentation\"/>
    </mc:Choice>
  </mc:AlternateContent>
  <xr:revisionPtr revIDLastSave="0" documentId="13_ncr:1_{46A8A02C-20D2-4DE1-80E6-E153B7DD22DA}" xr6:coauthVersionLast="47" xr6:coauthVersionMax="47" xr10:uidLastSave="{00000000-0000-0000-0000-000000000000}"/>
  <bookViews>
    <workbookView xWindow="-19310" yWindow="750" windowWidth="19420" windowHeight="10300" xr2:uid="{9169F58E-ABB7-4F54-BD6F-C5F73F530C4D}"/>
  </bookViews>
  <sheets>
    <sheet name="Hoja1" sheetId="1" r:id="rId1"/>
    <sheet name="Graphs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9" i="1" l="1"/>
  <c r="O18" i="1"/>
  <c r="O17" i="1"/>
  <c r="M18" i="1"/>
  <c r="M19" i="1"/>
  <c r="L11" i="1"/>
  <c r="M11" i="1" s="1"/>
  <c r="O11" i="1" s="1"/>
  <c r="L12" i="1"/>
  <c r="M12" i="1" s="1"/>
  <c r="O12" i="1" s="1"/>
  <c r="L10" i="1"/>
  <c r="M10" i="1" s="1"/>
  <c r="N11" i="1"/>
  <c r="N12" i="1"/>
  <c r="N10" i="1"/>
  <c r="N5" i="1"/>
  <c r="N3" i="1"/>
  <c r="N4" i="1"/>
  <c r="L4" i="1"/>
  <c r="M4" i="1" s="1"/>
  <c r="O4" i="1" s="1"/>
  <c r="L5" i="1"/>
  <c r="M5" i="1" s="1"/>
  <c r="O5" i="1" s="1"/>
  <c r="L3" i="1"/>
  <c r="M3" i="1" s="1"/>
  <c r="O3" i="1" s="1"/>
  <c r="M17" i="1" l="1"/>
  <c r="O10" i="1"/>
</calcChain>
</file>

<file path=xl/sharedStrings.xml><?xml version="1.0" encoding="utf-8"?>
<sst xmlns="http://schemas.openxmlformats.org/spreadsheetml/2006/main" count="42" uniqueCount="21">
  <si>
    <t>DEMAND EVOLUTION</t>
  </si>
  <si>
    <t>Conservative</t>
  </si>
  <si>
    <t>Realistic</t>
  </si>
  <si>
    <t>Optimistic</t>
  </si>
  <si>
    <t>Private / month</t>
  </si>
  <si>
    <t>Active dealers</t>
  </si>
  <si>
    <t>Upfront</t>
  </si>
  <si>
    <t>Time saved per report (h)</t>
  </si>
  <si>
    <t>Value of time (eur/h)</t>
  </si>
  <si>
    <t>Revenue/report (€)</t>
  </si>
  <si>
    <t>Revenue/sub (€)</t>
  </si>
  <si>
    <t>REVENUE</t>
  </si>
  <si>
    <t>Ongoing 12-36</t>
  </si>
  <si>
    <t>Ongoing 0-12</t>
  </si>
  <si>
    <t>Total 0-36</t>
  </si>
  <si>
    <t>MONTHLY COSTS</t>
  </si>
  <si>
    <t>TOTAL COSTS</t>
  </si>
  <si>
    <t>ROI</t>
  </si>
  <si>
    <t>At 12 months</t>
  </si>
  <si>
    <t>At 36 months</t>
  </si>
  <si>
    <t>Total 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</si>
</sst>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#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textRotation="90" wrapText="1"/>
    </xf>
    <xf numFmtId="10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Private Users</a:t>
            </a:r>
            <a:r>
              <a:rPr lang="es-ES" baseline="0"/>
              <a:t> / Month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Hoja1!$B$2</c:f>
              <c:strCache>
                <c:ptCount val="1"/>
                <c:pt idx="0">
                  <c:v>Conservative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Hoja1!$C$1:$E$1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36</c:v>
                </c:pt>
              </c:numCache>
            </c:numRef>
          </c:xVal>
          <c:yVal>
            <c:numRef>
              <c:f>Hoja1!$C$2:$E$2</c:f>
              <c:numCache>
                <c:formatCode>General</c:formatCode>
                <c:ptCount val="3"/>
                <c:pt idx="0">
                  <c:v>0</c:v>
                </c:pt>
                <c:pt idx="1">
                  <c:v>20</c:v>
                </c:pt>
                <c:pt idx="2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C7-4D08-B527-59DA215A77ED}"/>
            </c:ext>
          </c:extLst>
        </c:ser>
        <c:ser>
          <c:idx val="1"/>
          <c:order val="1"/>
          <c:tx>
            <c:strRef>
              <c:f>Hoja1!$B$3</c:f>
              <c:strCache>
                <c:ptCount val="1"/>
                <c:pt idx="0">
                  <c:v>Realistic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Hoja1!$C$1:$E$1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36</c:v>
                </c:pt>
              </c:numCache>
            </c:numRef>
          </c:xVal>
          <c:yVal>
            <c:numRef>
              <c:f>Hoja1!$C$3:$E$3</c:f>
              <c:numCache>
                <c:formatCode>General</c:formatCode>
                <c:ptCount val="3"/>
                <c:pt idx="0">
                  <c:v>0</c:v>
                </c:pt>
                <c:pt idx="1">
                  <c:v>100</c:v>
                </c:pt>
                <c:pt idx="2">
                  <c:v>400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C7-4D08-B527-59DA215A77ED}"/>
            </c:ext>
          </c:extLst>
        </c:ser>
        <c:ser>
          <c:idx val="2"/>
          <c:order val="2"/>
          <c:tx>
            <c:strRef>
              <c:f>Hoja1!$B$4</c:f>
              <c:strCache>
                <c:ptCount val="1"/>
                <c:pt idx="0">
                  <c:v>Optimistic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Hoja1!$C$1:$E$1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36</c:v>
                </c:pt>
              </c:numCache>
            </c:numRef>
          </c:xVal>
          <c:yVal>
            <c:numRef>
              <c:f>Hoja1!$C$4:$E$4</c:f>
              <c:numCache>
                <c:formatCode>General</c:formatCode>
                <c:ptCount val="3"/>
                <c:pt idx="0">
                  <c:v>0</c:v>
                </c:pt>
                <c:pt idx="1">
                  <c:v>300</c:v>
                </c:pt>
                <c:pt idx="2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3C7-4D08-B527-59DA215A7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2896655"/>
        <c:axId val="1912880335"/>
      </c:scatterChart>
      <c:valAx>
        <c:axId val="191289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12880335"/>
        <c:crosses val="autoZero"/>
        <c:crossBetween val="midCat"/>
      </c:valAx>
      <c:valAx>
        <c:axId val="191288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12896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Active</a:t>
            </a:r>
            <a:r>
              <a:rPr lang="es-ES" baseline="0"/>
              <a:t> Dealerships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Hoja1!$B$5</c:f>
              <c:strCache>
                <c:ptCount val="1"/>
                <c:pt idx="0">
                  <c:v>Conservative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Hoja1!$C$1:$E$1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36</c:v>
                </c:pt>
              </c:numCache>
            </c:numRef>
          </c:xVal>
          <c:yVal>
            <c:numRef>
              <c:f>Hoja1!$C$5:$E$5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07-4B84-816D-6848DED2B830}"/>
            </c:ext>
          </c:extLst>
        </c:ser>
        <c:ser>
          <c:idx val="1"/>
          <c:order val="1"/>
          <c:tx>
            <c:strRef>
              <c:f>Hoja1!$B$6</c:f>
              <c:strCache>
                <c:ptCount val="1"/>
                <c:pt idx="0">
                  <c:v>Realistic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Hoja1!$C$1:$E$1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36</c:v>
                </c:pt>
              </c:numCache>
            </c:numRef>
          </c:xVal>
          <c:yVal>
            <c:numRef>
              <c:f>Hoja1!$C$6:$E$6</c:f>
              <c:numCache>
                <c:formatCode>General</c:formatCode>
                <c:ptCount val="3"/>
                <c:pt idx="0">
                  <c:v>0</c:v>
                </c:pt>
                <c:pt idx="1">
                  <c:v>5</c:v>
                </c:pt>
                <c:pt idx="2">
                  <c:v>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07-4B84-816D-6848DED2B830}"/>
            </c:ext>
          </c:extLst>
        </c:ser>
        <c:ser>
          <c:idx val="2"/>
          <c:order val="2"/>
          <c:tx>
            <c:strRef>
              <c:f>Hoja1!$B$7</c:f>
              <c:strCache>
                <c:ptCount val="1"/>
                <c:pt idx="0">
                  <c:v>Optimistic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Hoja1!$C$1:$E$1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36</c:v>
                </c:pt>
              </c:numCache>
            </c:numRef>
          </c:xVal>
          <c:yVal>
            <c:numRef>
              <c:f>Hoja1!$C$7:$E$7</c:f>
              <c:numCache>
                <c:formatCode>General</c:formatCode>
                <c:ptCount val="3"/>
                <c:pt idx="0">
                  <c:v>0</c:v>
                </c:pt>
                <c:pt idx="1">
                  <c:v>15</c:v>
                </c:pt>
                <c:pt idx="2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07-4B84-816D-6848DED2B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2896655"/>
        <c:axId val="1912880335"/>
      </c:scatterChart>
      <c:valAx>
        <c:axId val="191289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12880335"/>
        <c:crosses val="autoZero"/>
        <c:crossBetween val="midCat"/>
      </c:valAx>
      <c:valAx>
        <c:axId val="191288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12896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609600</xdr:colOff>
      <xdr:row>15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5882FB-542F-4ED9-A3A9-8ECEBF1E05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5</xdr:col>
      <xdr:colOff>609600</xdr:colOff>
      <xdr:row>31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11CA31C-9936-4A36-B6CB-A4194A8500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8D3E4-EA8B-46AF-AC10-AB3B56468FE9}">
  <dimension ref="A1:O19"/>
  <sheetViews>
    <sheetView tabSelected="1" workbookViewId="0">
      <selection activeCell="B1" sqref="B1:E7"/>
    </sheetView>
  </sheetViews>
  <sheetFormatPr baseColWidth="10" defaultRowHeight="14.4" x14ac:dyDescent="0.3"/>
  <cols>
    <col min="1" max="1" width="7.6640625" customWidth="1"/>
    <col min="2" max="2" width="11.33203125" bestFit="1" customWidth="1"/>
    <col min="3" max="3" width="11.5546875" bestFit="1" customWidth="1"/>
    <col min="4" max="5" width="12.5546875" bestFit="1" customWidth="1"/>
    <col min="7" max="7" width="20.6640625" bestFit="1" customWidth="1"/>
    <col min="12" max="13" width="12.6640625" bestFit="1" customWidth="1"/>
    <col min="14" max="14" width="12.5546875" bestFit="1" customWidth="1"/>
  </cols>
  <sheetData>
    <row r="1" spans="1:15" x14ac:dyDescent="0.3">
      <c r="A1" t="s">
        <v>0</v>
      </c>
      <c r="C1">
        <v>0</v>
      </c>
      <c r="D1">
        <v>12</v>
      </c>
      <c r="E1">
        <v>36</v>
      </c>
      <c r="G1" t="s">
        <v>7</v>
      </c>
      <c r="H1">
        <v>0.5</v>
      </c>
      <c r="K1" t="s">
        <v>11</v>
      </c>
    </row>
    <row r="2" spans="1:15" x14ac:dyDescent="0.3">
      <c r="A2" s="1" t="s">
        <v>4</v>
      </c>
      <c r="B2" t="s">
        <v>1</v>
      </c>
      <c r="C2">
        <v>0</v>
      </c>
      <c r="D2">
        <v>20</v>
      </c>
      <c r="E2">
        <v>60</v>
      </c>
      <c r="G2" t="s">
        <v>8</v>
      </c>
      <c r="H2">
        <v>20</v>
      </c>
      <c r="L2" t="s">
        <v>13</v>
      </c>
      <c r="M2" t="s">
        <v>20</v>
      </c>
      <c r="N2" t="s">
        <v>12</v>
      </c>
      <c r="O2" t="s">
        <v>14</v>
      </c>
    </row>
    <row r="3" spans="1:15" x14ac:dyDescent="0.3">
      <c r="A3" s="1"/>
      <c r="B3" t="s">
        <v>2</v>
      </c>
      <c r="C3">
        <v>0</v>
      </c>
      <c r="D3">
        <v>100</v>
      </c>
      <c r="E3">
        <v>400</v>
      </c>
      <c r="G3" t="s">
        <v>9</v>
      </c>
      <c r="H3">
        <v>15</v>
      </c>
      <c r="J3" t="s">
        <v>1</v>
      </c>
      <c r="K3" s="3"/>
      <c r="L3" s="3">
        <f>($H$3*(C2+D2)/2+$H$4*(C5+D5)/2)*12</f>
        <v>2400</v>
      </c>
      <c r="M3" s="3">
        <f>L3</f>
        <v>2400</v>
      </c>
      <c r="N3" s="3">
        <f>($H$3*(D2+E2)/2+$H$4*(D5+E5)/2)*24</f>
        <v>20400</v>
      </c>
      <c r="O3" s="3">
        <f>SUM(M3:N3)</f>
        <v>22800</v>
      </c>
    </row>
    <row r="4" spans="1:15" x14ac:dyDescent="0.3">
      <c r="A4" s="1"/>
      <c r="B4" t="s">
        <v>3</v>
      </c>
      <c r="C4">
        <v>0</v>
      </c>
      <c r="D4">
        <v>300</v>
      </c>
      <c r="E4">
        <v>1200</v>
      </c>
      <c r="G4" t="s">
        <v>10</v>
      </c>
      <c r="H4">
        <v>100</v>
      </c>
      <c r="J4" t="s">
        <v>2</v>
      </c>
      <c r="K4" s="3"/>
      <c r="L4" s="3">
        <f>($H$3*(C3+D3)/2+$H$4*(C6+D6)/2)*12</f>
        <v>12000</v>
      </c>
      <c r="M4" s="3">
        <f t="shared" ref="M4:M5" si="0">L4</f>
        <v>12000</v>
      </c>
      <c r="N4" s="3">
        <f>($H$3*(D3+E3)/2+$H$4*(D6+E6)/2)*24</f>
        <v>117600</v>
      </c>
      <c r="O4" s="3">
        <f t="shared" ref="O4:O5" si="1">SUM(M4:N4)</f>
        <v>129600</v>
      </c>
    </row>
    <row r="5" spans="1:15" x14ac:dyDescent="0.3">
      <c r="A5" s="1" t="s">
        <v>5</v>
      </c>
      <c r="B5" t="s">
        <v>1</v>
      </c>
      <c r="C5">
        <v>0</v>
      </c>
      <c r="D5">
        <v>1</v>
      </c>
      <c r="E5">
        <v>4</v>
      </c>
      <c r="J5" t="s">
        <v>3</v>
      </c>
      <c r="K5" s="3"/>
      <c r="L5" s="3">
        <f>($H$3*(C4+D4)/2+$H$4*(C7+D7)/2)*12</f>
        <v>36000</v>
      </c>
      <c r="M5" s="3">
        <f t="shared" si="0"/>
        <v>36000</v>
      </c>
      <c r="N5" s="3">
        <f>($H$3*(D4+E4)/2+$H$4*(D7+E7)/2)*24</f>
        <v>348000</v>
      </c>
      <c r="O5" s="3">
        <f t="shared" si="1"/>
        <v>384000</v>
      </c>
    </row>
    <row r="6" spans="1:15" x14ac:dyDescent="0.3">
      <c r="A6" s="1"/>
      <c r="B6" t="s">
        <v>2</v>
      </c>
      <c r="C6">
        <v>0</v>
      </c>
      <c r="D6">
        <v>5</v>
      </c>
      <c r="E6">
        <v>18</v>
      </c>
    </row>
    <row r="7" spans="1:15" x14ac:dyDescent="0.3">
      <c r="A7" s="1"/>
      <c r="B7" t="s">
        <v>3</v>
      </c>
      <c r="C7">
        <v>0</v>
      </c>
      <c r="D7">
        <v>15</v>
      </c>
      <c r="E7">
        <v>50</v>
      </c>
    </row>
    <row r="8" spans="1:15" x14ac:dyDescent="0.3">
      <c r="K8" t="s">
        <v>16</v>
      </c>
    </row>
    <row r="9" spans="1:15" x14ac:dyDescent="0.3">
      <c r="A9" t="s">
        <v>15</v>
      </c>
      <c r="D9" t="s">
        <v>13</v>
      </c>
      <c r="E9" t="s">
        <v>12</v>
      </c>
      <c r="K9" t="s">
        <v>6</v>
      </c>
      <c r="L9" t="s">
        <v>13</v>
      </c>
      <c r="M9" t="s">
        <v>20</v>
      </c>
      <c r="N9" t="s">
        <v>12</v>
      </c>
      <c r="O9" t="s">
        <v>14</v>
      </c>
    </row>
    <row r="10" spans="1:15" x14ac:dyDescent="0.3">
      <c r="B10" t="s">
        <v>1</v>
      </c>
      <c r="D10" s="3">
        <v>1900</v>
      </c>
      <c r="E10" s="3">
        <v>2600</v>
      </c>
      <c r="J10" t="s">
        <v>1</v>
      </c>
      <c r="K10" s="3">
        <v>60000</v>
      </c>
      <c r="L10" s="3">
        <f>(C10+D10)/2*12</f>
        <v>11400</v>
      </c>
      <c r="M10" s="3">
        <f>SUM(K10:L10)</f>
        <v>71400</v>
      </c>
      <c r="N10" s="3">
        <f>(D10+E10)/2*24</f>
        <v>54000</v>
      </c>
      <c r="O10" s="3">
        <f>SUM(M10:N10)</f>
        <v>125400</v>
      </c>
    </row>
    <row r="11" spans="1:15" x14ac:dyDescent="0.3">
      <c r="B11" t="s">
        <v>2</v>
      </c>
      <c r="D11" s="3">
        <v>2800</v>
      </c>
      <c r="E11" s="3">
        <v>4800</v>
      </c>
      <c r="J11" t="s">
        <v>2</v>
      </c>
      <c r="K11" s="3">
        <v>36000</v>
      </c>
      <c r="L11" s="3">
        <f>(C11+D11)/2*12</f>
        <v>16800</v>
      </c>
      <c r="M11" s="3">
        <f t="shared" ref="M11:M12" si="2">SUM(K11:L11)</f>
        <v>52800</v>
      </c>
      <c r="N11" s="3">
        <f>(D11+E11)/2*24</f>
        <v>91200</v>
      </c>
      <c r="O11" s="3">
        <f t="shared" ref="O11:O12" si="3">SUM(M11:N11)</f>
        <v>144000</v>
      </c>
    </row>
    <row r="12" spans="1:15" x14ac:dyDescent="0.3">
      <c r="B12" t="s">
        <v>3</v>
      </c>
      <c r="D12" s="3">
        <v>4500</v>
      </c>
      <c r="E12" s="3">
        <v>8800</v>
      </c>
      <c r="J12" t="s">
        <v>3</v>
      </c>
      <c r="K12" s="3">
        <v>22000</v>
      </c>
      <c r="L12" s="3">
        <f>(C12+D12)/2*12</f>
        <v>27000</v>
      </c>
      <c r="M12" s="3">
        <f t="shared" si="2"/>
        <v>49000</v>
      </c>
      <c r="N12" s="3">
        <f>(D12+E12)/2*24</f>
        <v>159600</v>
      </c>
      <c r="O12" s="3">
        <f t="shared" si="3"/>
        <v>208600</v>
      </c>
    </row>
    <row r="15" spans="1:15" x14ac:dyDescent="0.3">
      <c r="K15" t="s">
        <v>17</v>
      </c>
    </row>
    <row r="16" spans="1:15" x14ac:dyDescent="0.3">
      <c r="M16" t="s">
        <v>18</v>
      </c>
      <c r="O16" t="s">
        <v>19</v>
      </c>
    </row>
    <row r="17" spans="10:15" x14ac:dyDescent="0.3">
      <c r="J17" t="s">
        <v>1</v>
      </c>
      <c r="M17" s="2">
        <f>(M3-M10)/M10</f>
        <v>-0.96638655462184875</v>
      </c>
      <c r="O17" s="2">
        <f>(O3-O10)/O10</f>
        <v>-0.81818181818181823</v>
      </c>
    </row>
    <row r="18" spans="10:15" x14ac:dyDescent="0.3">
      <c r="J18" t="s">
        <v>2</v>
      </c>
      <c r="M18" s="2">
        <f t="shared" ref="M18:O19" si="4">(M4-M11)/M11</f>
        <v>-0.77272727272727271</v>
      </c>
      <c r="O18" s="2">
        <f t="shared" si="4"/>
        <v>-0.1</v>
      </c>
    </row>
    <row r="19" spans="10:15" x14ac:dyDescent="0.3">
      <c r="J19" t="s">
        <v>3</v>
      </c>
      <c r="M19" s="2">
        <f t="shared" si="4"/>
        <v>-0.26530612244897961</v>
      </c>
      <c r="O19" s="2">
        <f t="shared" si="4"/>
        <v>0.84084372003835095</v>
      </c>
    </row>
  </sheetData>
  <mergeCells count="2">
    <mergeCell ref="A2:A4"/>
    <mergeCell ref="A5:A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1EC10-C898-4946-9BFE-D2F7C6E1857A}">
  <dimension ref="A1"/>
  <sheetViews>
    <sheetView workbookViewId="0">
      <selection activeCell="G17" sqref="G1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Martínez Boto</dc:creator>
  <cp:lastModifiedBy>Carlos Martínez Boto</cp:lastModifiedBy>
  <dcterms:created xsi:type="dcterms:W3CDTF">2026-06-18T09:26:26Z</dcterms:created>
  <dcterms:modified xsi:type="dcterms:W3CDTF">2026-06-18T13:43:11Z</dcterms:modified>
</cp:coreProperties>
</file>